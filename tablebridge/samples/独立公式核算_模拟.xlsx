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376eee6d0d4f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独立公式核算" sheetId="1" r:id="R3feee8b0f75347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@"/>
  </x:numFmts>
  <x:fonts count="3">
    <x:font>
      <x:sz val="11"/>
      <x:name val="Carlito"/>
    </x:font>
    <x:font>
      <x:sz val="11"/>
      <x:color rgb="FF182B3B"/>
      <x:name val="PingFang SC"/>
    </x:font>
    <x:font>
      <x:b/>
      <x:sz val="11"/>
      <x:color rgb="FFFFFFFF"/>
      <x:name val="PingFang SC"/>
    </x:font>
  </x:fonts>
  <x:fills count="3">
    <x:fill>
      <x:patternFill patternType="none"/>
    </x:fill>
    <x:fill>
      <x:patternFill patternType="gray125"/>
    </x:fill>
    <x:fill>
      <x:patternFill patternType="solid">
        <x:fgColor rgb="FF075D67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0" fontId="0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a0e4434e214dbe" /><Relationship Type="http://schemas.openxmlformats.org/officeDocument/2006/relationships/theme" Target="/xl/theme/theme1.xml" Id="Rbf89dca2e63447b2" /><Relationship Type="http://schemas.openxmlformats.org/officeDocument/2006/relationships/sharedStrings" Target="/xl/sharedStrings.xml" Id="R68aa6c0a863f47ee" /><Relationship Type="http://schemas.openxmlformats.org/officeDocument/2006/relationships/worksheet" Target="/xl/worksheets/sheet1.xml" Id="R3feee8b0f75347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29" customHeight="1">
      <x:c r="A1" s="3" t="str">
        <x:v>工号</x:v>
      </x:c>
      <x:c r="B1" s="3" t="str">
        <x:v>单据编号</x:v>
      </x:c>
      <x:c r="C1" s="3" t="str">
        <x:v>请假天数</x:v>
      </x:c>
      <x:c r="D1" s="3" t="str">
        <x:v>扣减前余额</x:v>
      </x:c>
      <x:c r="E1" s="3" t="str">
        <x:v>年假抵扣</x:v>
      </x:c>
      <x:c r="F1" s="3" t="str">
        <x:v>转事假</x:v>
      </x:c>
      <x:c r="G1" s="3" t="str">
        <x:v>扣减后余额</x:v>
      </x:c>
    </x:row>
    <x:row r="2" ht="29" customHeight="1">
      <x:c r="A2" s="6" t="str">
        <x:v>工号 0001</x:v>
      </x:c>
      <x:c r="B2" s="6" t="str">
        <x:v>L001</x:v>
      </x:c>
      <x:c r="C2" s="4" t="n">
        <x:v>2.5</x:v>
      </x:c>
      <x:c r="D2" s="4" t="n">
        <x:v>3</x:v>
      </x:c>
      <x:c r="E2" s="4" t="n">
        <x:f>MIN(C2,D2)</x:f>
        <x:v>2.5</x:v>
      </x:c>
      <x:c r="F2" s="4" t="n">
        <x:f>ROUND(C2-E2,2)</x:f>
        <x:v>0</x:v>
      </x:c>
      <x:c r="G2" s="4" t="n">
        <x:f>ROUND(D2-E2,2)</x:f>
        <x:v>0.5</x:v>
      </x:c>
    </x:row>
    <x:row r="3" ht="29" customHeight="1">
      <x:c r="A3" s="6" t="str">
        <x:v>工号 0001</x:v>
      </x:c>
      <x:c r="B3" s="6" t="str">
        <x:v>L002</x:v>
      </x:c>
      <x:c r="C3" s="4" t="n">
        <x:v>2</x:v>
      </x:c>
      <x:c r="D3" s="4" t="n">
        <x:f>G2</x:f>
        <x:v>0.5</x:v>
      </x:c>
      <x:c r="E3" s="4" t="n">
        <x:f>MIN(C3,D3)</x:f>
        <x:v>0.5</x:v>
      </x:c>
      <x:c r="F3" s="4" t="n">
        <x:f>ROUND(C3-E3,2)</x:f>
        <x:v>1.5</x:v>
      </x:c>
      <x:c r="G3" s="4" t="n">
        <x:f>ROUND(D3-E3,2)</x:f>
        <x:v>0</x:v>
      </x:c>
    </x:row>
    <x:row r="4" ht="29" customHeight="1">
      <x:c r="A4" s="6" t="str">
        <x:v>工号 0002</x:v>
      </x:c>
      <x:c r="B4" s="6" t="str">
        <x:v>L003</x:v>
      </x:c>
      <x:c r="C4" s="4" t="n">
        <x:v>1.25</x:v>
      </x:c>
      <x:c r="D4" s="4" t="n">
        <x:v>0</x:v>
      </x:c>
      <x:c r="E4" s="4" t="n">
        <x:f>MIN(C4,D4)</x:f>
        <x:v>0</x:v>
      </x:c>
      <x:c r="F4" s="4" t="n">
        <x:f>ROUND(C4-E4,2)</x:f>
        <x:v>1.25</x:v>
      </x:c>
      <x:c r="G4" s="4" t="n">
        <x:f>ROUND(D4-E4,2)</x:f>
        <x:v>0</x:v>
      </x:c>
    </x:row>
    <x:row r="5" ht="29" customHeight="1">
      <x:c r="A5" s="6" t="str">
        <x:v>工号 0003</x:v>
      </x:c>
      <x:c r="B5" s="6" t="str">
        <x:v>L004</x:v>
      </x:c>
      <x:c r="C5" s="4" t="n">
        <x:v>0.1</x:v>
      </x:c>
      <x:c r="D5" s="4" t="n">
        <x:v>0.3</x:v>
      </x:c>
      <x:c r="E5" s="4" t="n">
        <x:f>MIN(C5,D5)</x:f>
        <x:v>0.1</x:v>
      </x:c>
      <x:c r="F5" s="4" t="n">
        <x:f>ROUND(C5-E5,2)</x:f>
        <x:v>0</x:v>
      </x:c>
      <x:c r="G5" s="4" t="n">
        <x:f>ROUND(D5-E5,2)</x:f>
        <x:v>0.2</x:v>
      </x:c>
    </x:row>
    <x:row r="6" ht="29" customHeight="1">
      <x:c r="A6" s="6" t="str">
        <x:v>工号 0003</x:v>
      </x:c>
      <x:c r="B6" s="6" t="str">
        <x:v>L005</x:v>
      </x:c>
      <x:c r="C6" s="4" t="n">
        <x:v>0.2</x:v>
      </x:c>
      <x:c r="D6" s="4" t="n">
        <x:f>G5</x:f>
        <x:v>0.2</x:v>
      </x:c>
      <x:c r="E6" s="4" t="n">
        <x:f>MIN(C6,D6)</x:f>
        <x:v>0.2</x:v>
      </x:c>
      <x:c r="F6" s="4" t="n">
        <x:f>ROUND(C6-E6,2)</x:f>
        <x:v>0</x:v>
      </x:c>
      <x:c r="G6" s="4" t="n">
        <x:f>ROUND(D6-E6,2)</x:f>
        <x:v>0</x:v>
      </x:c>
    </x:row>
    <x:row r="7" ht="29" customHeight="1">
      <x:c r="A7" s="1"/>
      <x:c r="B7" s="1"/>
      <x:c r="C7" s="4"/>
      <x:c r="D7" s="4"/>
      <x:c r="E7" s="4"/>
      <x:c r="F7" s="4"/>
      <x:c r="G7" s="4"/>
    </x:row>
    <x:row r="8" ht="29" customHeight="1">
      <x:c r="A8" s="1"/>
      <x:c r="B8" s="1" t="str">
        <x:v>合计</x:v>
      </x:c>
      <x:c r="C8" s="4" t="n">
        <x:f>ROUND(SUM(C2:C6),2)</x:f>
        <x:v>6.05</x:v>
      </x:c>
      <x:c r="D8" s="4"/>
      <x:c r="E8" s="4" t="n">
        <x:f>ROUND(SUM(E2:E6),2)</x:f>
        <x:v>3.3</x:v>
      </x:c>
      <x:c r="F8" s="4" t="n">
        <x:f>ROUND(SUM(F2:F6),2)</x:f>
        <x:v>2.75</x:v>
      </x:c>
      <x:c r="G8" s="4"/>
    </x:row>
    <x:row r="10" ht="30" customHeight="1">
      <x:c r="A10" s="5" t="str">
        <x:v>模拟案例的独立公式对照；按 0.01 天口径取值，仅列入有效申请。</x:v>
      </x:c>
      <x:c r="B10" s="5"/>
      <x:c r="C10" s="5"/>
      <x:c r="D10" s="5"/>
      <x:c r="E10" s="5"/>
      <x:c r="F10" s="5"/>
      <x:c r="G10" s="5"/>
    </x:row>
  </x:sheetData>
  <x:mergeCells>
    <x:mergeCell ref="A10:G10"/>
  </x:mergeCells>
  <x:pageMargins left="0.7" right="0.7" top="0.75" bottom="0.75" header="0.3" footer="0.3"/>
</x:worksheet>
</file>